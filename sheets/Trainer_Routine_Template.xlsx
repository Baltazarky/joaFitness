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base" sheetId="1" r:id="rId1"/>
    <sheet name="Routine" sheetId="2" r:id="rId2"/>
  </sheets>
  <calcPr calcId="124519" fullCalcOnLoad="1"/>
</workbook>
</file>

<file path=xl/sharedStrings.xml><?xml version="1.0" encoding="utf-8"?>
<sst xmlns="http://schemas.openxmlformats.org/spreadsheetml/2006/main" count="124" uniqueCount="70">
  <si>
    <t>Exercise Name</t>
  </si>
  <si>
    <t>Primary Muscle</t>
  </si>
  <si>
    <t>Secondary Muscle</t>
  </si>
  <si>
    <t>Movement Pattern</t>
  </si>
  <si>
    <t>Dumbbell Bench Press</t>
  </si>
  <si>
    <t>Chest</t>
  </si>
  <si>
    <t>Triceps</t>
  </si>
  <si>
    <t>Horizontal Push</t>
  </si>
  <si>
    <t>Incline Barbell Bench</t>
  </si>
  <si>
    <t>Front Delts</t>
  </si>
  <si>
    <t>Incline Push</t>
  </si>
  <si>
    <t>Barbell Squat</t>
  </si>
  <si>
    <t>Quads</t>
  </si>
  <si>
    <t>Glutes</t>
  </si>
  <si>
    <t>Squat</t>
  </si>
  <si>
    <t>Leg Press</t>
  </si>
  <si>
    <t>None</t>
  </si>
  <si>
    <t>Deadlift</t>
  </si>
  <si>
    <t>Hamstrings</t>
  </si>
  <si>
    <t>Back</t>
  </si>
  <si>
    <t>Hinge</t>
  </si>
  <si>
    <t>Romanian Deadlift (RDL)</t>
  </si>
  <si>
    <t>Pull Up</t>
  </si>
  <si>
    <t>Biceps</t>
  </si>
  <si>
    <t>Vertical Pull</t>
  </si>
  <si>
    <t>Lat Pulldown</t>
  </si>
  <si>
    <t>Barbell Row</t>
  </si>
  <si>
    <t>Horizontal Pull</t>
  </si>
  <si>
    <t>Seated Cable Row</t>
  </si>
  <si>
    <t>Overhead Press</t>
  </si>
  <si>
    <t>Shoulders</t>
  </si>
  <si>
    <t>Vertical Push</t>
  </si>
  <si>
    <t>Lateral Raise</t>
  </si>
  <si>
    <t>Isolation</t>
  </si>
  <si>
    <t>Tricep Rope Extension</t>
  </si>
  <si>
    <t>Dumbbell Bicep Curl</t>
  </si>
  <si>
    <t>Leg Curl</t>
  </si>
  <si>
    <t>Leg Extension</t>
  </si>
  <si>
    <t>Calf Raise</t>
  </si>
  <si>
    <t>Calves</t>
  </si>
  <si>
    <t>Client Name:</t>
  </si>
  <si>
    <t>Current Phase:</t>
  </si>
  <si>
    <t>Hypertrophy Block 1</t>
  </si>
  <si>
    <t>Date/Week:</t>
  </si>
  <si>
    <t>Week 1</t>
  </si>
  <si>
    <t>Primary Goal:</t>
  </si>
  <si>
    <t>Build Mass</t>
  </si>
  <si>
    <t>Day/Block</t>
  </si>
  <si>
    <t>Sets</t>
  </si>
  <si>
    <t>Target Reps</t>
  </si>
  <si>
    <t>Load / Weight</t>
  </si>
  <si>
    <t>RPE / RIR</t>
  </si>
  <si>
    <t>Rest Time</t>
  </si>
  <si>
    <t>Volume Load</t>
  </si>
  <si>
    <t>Primary (Hidden)</t>
  </si>
  <si>
    <t>Secondary (Hidden)</t>
  </si>
  <si>
    <t>DASHBOARD &amp; INSIGHTS</t>
  </si>
  <si>
    <t>Muscle Group</t>
  </si>
  <si>
    <t>Total Sets (Vol)</t>
  </si>
  <si>
    <t>% of Total</t>
  </si>
  <si>
    <t>Day 1</t>
  </si>
  <si>
    <t>8-10</t>
  </si>
  <si>
    <t>8</t>
  </si>
  <si>
    <t>90s</t>
  </si>
  <si>
    <t>8-12</t>
  </si>
  <si>
    <t>AMRAP</t>
  </si>
  <si>
    <t>9</t>
  </si>
  <si>
    <t>120s</t>
  </si>
  <si>
    <t>15-20</t>
  </si>
  <si>
    <t>60s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</si>
</sst>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Protection="1">
      <protection hidden="1"/>
    </xf>
    <xf numFmtId="0" fontId="0" fillId="0" borderId="1" xfId="0" applyBorder="1"/>
    <xf numFmtId="0" fontId="1" fillId="3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Weekly Volume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Weekly Volume Distribution</c:v>
          </c:tx>
          <c:dLbls>
            <c:showCatName val="1"/>
            <c:showPercent val="1"/>
            <c:separator>
</c:separator>
          </c:dLbls>
          <c:cat>
            <c:strRef>
              <c:f>Routine!$L$4:$L$13</c:f>
              <c:strCache>
                <c:ptCount val="10"/>
                <c:pt idx="0">
                  <c:v>Chest</c:v>
                </c:pt>
                <c:pt idx="1">
                  <c:v>Back</c:v>
                </c:pt>
                <c:pt idx="2">
                  <c:v>Quads</c:v>
                </c:pt>
                <c:pt idx="3">
                  <c:v>Hamstrings</c:v>
                </c:pt>
                <c:pt idx="4">
                  <c:v>Glutes</c:v>
                </c:pt>
                <c:pt idx="5">
                  <c:v>Shoulders</c:v>
                </c:pt>
                <c:pt idx="6">
                  <c:v>Triceps</c:v>
                </c:pt>
                <c:pt idx="7">
                  <c:v>Biceps</c:v>
                </c:pt>
                <c:pt idx="8">
                  <c:v>Front Delts</c:v>
                </c:pt>
                <c:pt idx="9">
                  <c:v>Calves</c:v>
                </c:pt>
              </c:strCache>
            </c:strRef>
          </c:cat>
          <c:val>
            <c:numRef>
              <c:f>Routine!$N$4:$N$13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14</xdr:row>
      <xdr:rowOff>0</xdr:rowOff>
    </xdr:from>
    <xdr:to>
      <xdr:col>16</xdr:col>
      <xdr:colOff>76200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12</v>
      </c>
      <c r="C5" t="s">
        <v>16</v>
      </c>
      <c r="D5" t="s">
        <v>14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18</v>
      </c>
      <c r="C7" t="s">
        <v>13</v>
      </c>
      <c r="D7" t="s">
        <v>20</v>
      </c>
    </row>
    <row r="8" spans="1:4">
      <c r="A8" t="s">
        <v>22</v>
      </c>
      <c r="B8" t="s">
        <v>19</v>
      </c>
      <c r="C8" t="s">
        <v>23</v>
      </c>
      <c r="D8" t="s">
        <v>24</v>
      </c>
    </row>
    <row r="9" spans="1:4">
      <c r="A9" t="s">
        <v>25</v>
      </c>
      <c r="B9" t="s">
        <v>19</v>
      </c>
      <c r="C9" t="s">
        <v>23</v>
      </c>
      <c r="D9" t="s">
        <v>24</v>
      </c>
    </row>
    <row r="10" spans="1:4">
      <c r="A10" t="s">
        <v>26</v>
      </c>
      <c r="B10" t="s">
        <v>19</v>
      </c>
      <c r="C10" t="s">
        <v>23</v>
      </c>
      <c r="D10" t="s">
        <v>27</v>
      </c>
    </row>
    <row r="11" spans="1:4">
      <c r="A11" t="s">
        <v>28</v>
      </c>
      <c r="B11" t="s">
        <v>19</v>
      </c>
      <c r="C11" t="s">
        <v>23</v>
      </c>
      <c r="D11" t="s">
        <v>27</v>
      </c>
    </row>
    <row r="12" spans="1:4">
      <c r="A12" t="s">
        <v>29</v>
      </c>
      <c r="B12" t="s">
        <v>30</v>
      </c>
      <c r="C12" t="s">
        <v>6</v>
      </c>
      <c r="D12" t="s">
        <v>31</v>
      </c>
    </row>
    <row r="13" spans="1:4">
      <c r="A13" t="s">
        <v>32</v>
      </c>
      <c r="B13" t="s">
        <v>30</v>
      </c>
      <c r="C13" t="s">
        <v>16</v>
      </c>
      <c r="D13" t="s">
        <v>33</v>
      </c>
    </row>
    <row r="14" spans="1:4">
      <c r="A14" t="s">
        <v>34</v>
      </c>
      <c r="B14" t="s">
        <v>6</v>
      </c>
      <c r="C14" t="s">
        <v>16</v>
      </c>
      <c r="D14" t="s">
        <v>33</v>
      </c>
    </row>
    <row r="15" spans="1:4">
      <c r="A15" t="s">
        <v>35</v>
      </c>
      <c r="B15" t="s">
        <v>23</v>
      </c>
      <c r="C15" t="s">
        <v>16</v>
      </c>
      <c r="D15" t="s">
        <v>33</v>
      </c>
    </row>
    <row r="16" spans="1:4">
      <c r="A16" t="s">
        <v>36</v>
      </c>
      <c r="B16" t="s">
        <v>18</v>
      </c>
      <c r="C16" t="s">
        <v>16</v>
      </c>
      <c r="D16" t="s">
        <v>33</v>
      </c>
    </row>
    <row r="17" spans="1:4">
      <c r="A17" t="s">
        <v>37</v>
      </c>
      <c r="B17" t="s">
        <v>12</v>
      </c>
      <c r="C17" t="s">
        <v>16</v>
      </c>
      <c r="D17" t="s">
        <v>33</v>
      </c>
    </row>
    <row r="18" spans="1:4">
      <c r="A18" t="s">
        <v>38</v>
      </c>
      <c r="B18" t="s">
        <v>39</v>
      </c>
      <c r="C18" t="s">
        <v>16</v>
      </c>
      <c r="D1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sheetFormatPr defaultRowHeight="15"/>
  <cols>
    <col min="1" max="1" width="15.7109375" customWidth="1"/>
    <col min="2" max="2" width="25.7109375" customWidth="1"/>
    <col min="3" max="8" width="13.7109375" customWidth="1"/>
    <col min="9" max="10" width="20.7109375" style="2" hidden="1" customWidth="1"/>
    <col min="12" max="12" width="15.7109375" customWidth="1"/>
    <col min="13" max="14" width="16.7109375" customWidth="1"/>
  </cols>
  <sheetData>
    <row r="1" spans="1:14">
      <c r="A1" s="1" t="s">
        <v>40</v>
      </c>
      <c r="B1" s="3"/>
      <c r="L1" s="1" t="s">
        <v>56</v>
      </c>
      <c r="M1" s="1"/>
      <c r="N1" s="1"/>
    </row>
    <row r="2" spans="1:14">
      <c r="A2" s="1" t="s">
        <v>41</v>
      </c>
      <c r="B2" s="3" t="s">
        <v>42</v>
      </c>
    </row>
    <row r="3" spans="1:14">
      <c r="A3" s="1" t="s">
        <v>43</v>
      </c>
      <c r="B3" s="3" t="s">
        <v>44</v>
      </c>
      <c r="L3" s="4" t="s">
        <v>57</v>
      </c>
      <c r="M3" s="4" t="s">
        <v>58</v>
      </c>
      <c r="N3" s="4" t="s">
        <v>59</v>
      </c>
    </row>
    <row r="4" spans="1:14">
      <c r="A4" s="1" t="s">
        <v>45</v>
      </c>
      <c r="B4" s="3" t="s">
        <v>46</v>
      </c>
      <c r="L4" s="3" t="s">
        <v>5</v>
      </c>
      <c r="M4" s="3">
        <f>SUMIFS($C$7:$C$56, $I$7:$I$56, L4)*1.0 + SUMIFS($C$7:$C$56, $J$7:$J$56, L4)*0.5</f>
        <v>0</v>
      </c>
      <c r="N4" s="5">
        <f>IF(SUM($M$4:$M$13)=0, 0, M4/SUM($M$4:$M$13))</f>
        <v>0</v>
      </c>
    </row>
    <row r="5" spans="1:14">
      <c r="L5" s="3" t="s">
        <v>19</v>
      </c>
      <c r="M5" s="3">
        <f>SUMIFS($C$7:$C$56, $I$7:$I$56, L5)*1.0 + SUMIFS($C$7:$C$56, $J$7:$J$56, L5)*0.5</f>
        <v>0</v>
      </c>
      <c r="N5" s="5">
        <f>IF(SUM($M$4:$M$13)=0, 0, M5/SUM($M$4:$M$13))</f>
        <v>0</v>
      </c>
    </row>
    <row r="6" spans="1:14">
      <c r="A6" s="1" t="s">
        <v>47</v>
      </c>
      <c r="B6" s="1" t="s">
        <v>0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L6" s="3" t="s">
        <v>12</v>
      </c>
      <c r="M6" s="3">
        <f>SUMIFS($C$7:$C$56, $I$7:$I$56, L6)*1.0 + SUMIFS($C$7:$C$56, $J$7:$J$56, L6)*0.5</f>
        <v>0</v>
      </c>
      <c r="N6" s="5">
        <f>IF(SUM($M$4:$M$13)=0, 0, M6/SUM($M$4:$M$13))</f>
        <v>0</v>
      </c>
    </row>
    <row r="7" spans="1:14">
      <c r="A7" s="3" t="s">
        <v>60</v>
      </c>
      <c r="B7" s="3" t="s">
        <v>4</v>
      </c>
      <c r="C7" s="3">
        <v>3</v>
      </c>
      <c r="D7" s="3" t="s">
        <v>61</v>
      </c>
      <c r="E7" s="3">
        <v>50</v>
      </c>
      <c r="F7" s="3" t="s">
        <v>62</v>
      </c>
      <c r="G7" s="3" t="s">
        <v>63</v>
      </c>
      <c r="H7" s="3">
        <f>IF(AND(ISNUMBER(C7), ISNUMBER(E7)), C7*E7, "")</f>
        <v>0</v>
      </c>
      <c r="I7" s="2">
        <f>IFERROR(VLOOKUP(B7, Database!$A$2:$C$50, 2, FALSE), "")</f>
        <v>0</v>
      </c>
      <c r="J7" s="2">
        <f>IFERROR(VLOOKUP(B7, Database!$A$2:$C$50, 3, FALSE), "")</f>
        <v>0</v>
      </c>
      <c r="L7" s="3" t="s">
        <v>18</v>
      </c>
      <c r="M7" s="3">
        <f>SUMIFS($C$7:$C$56, $I$7:$I$56, L7)*1.0 + SUMIFS($C$7:$C$56, $J$7:$J$56, L7)*0.5</f>
        <v>0</v>
      </c>
      <c r="N7" s="5">
        <f>IF(SUM($M$4:$M$13)=0, 0, M7/SUM($M$4:$M$13))</f>
        <v>0</v>
      </c>
    </row>
    <row r="8" spans="1:14">
      <c r="A8" s="3" t="s">
        <v>60</v>
      </c>
      <c r="B8" s="3" t="s">
        <v>8</v>
      </c>
      <c r="C8" s="3">
        <v>3</v>
      </c>
      <c r="D8" s="3" t="s">
        <v>64</v>
      </c>
      <c r="E8" s="3">
        <v>135</v>
      </c>
      <c r="F8" s="3" t="s">
        <v>62</v>
      </c>
      <c r="G8" s="3" t="s">
        <v>63</v>
      </c>
      <c r="H8" s="3">
        <f>IF(AND(ISNUMBER(C8), ISNUMBER(E8)), C8*E8, "")</f>
        <v>0</v>
      </c>
      <c r="I8" s="2">
        <f>IFERROR(VLOOKUP(B8, Database!$A$2:$C$50, 2, FALSE), "")</f>
        <v>0</v>
      </c>
      <c r="J8" s="2">
        <f>IFERROR(VLOOKUP(B8, Database!$A$2:$C$50, 3, FALSE), "")</f>
        <v>0</v>
      </c>
      <c r="L8" s="3" t="s">
        <v>13</v>
      </c>
      <c r="M8" s="3">
        <f>SUMIFS($C$7:$C$56, $I$7:$I$56, L8)*1.0 + SUMIFS($C$7:$C$56, $J$7:$J$56, L8)*0.5</f>
        <v>0</v>
      </c>
      <c r="N8" s="5">
        <f>IF(SUM($M$4:$M$13)=0, 0, M8/SUM($M$4:$M$13))</f>
        <v>0</v>
      </c>
    </row>
    <row r="9" spans="1:14">
      <c r="A9" s="3" t="s">
        <v>60</v>
      </c>
      <c r="B9" s="3" t="s">
        <v>22</v>
      </c>
      <c r="C9" s="3">
        <v>4</v>
      </c>
      <c r="D9" s="3" t="s">
        <v>65</v>
      </c>
      <c r="E9" s="3">
        <v>0</v>
      </c>
      <c r="F9" s="3" t="s">
        <v>66</v>
      </c>
      <c r="G9" s="3" t="s">
        <v>67</v>
      </c>
      <c r="H9" s="3">
        <f>IF(AND(ISNUMBER(C9), ISNUMBER(E9)), C9*E9, "")</f>
        <v>0</v>
      </c>
      <c r="I9" s="2">
        <f>IFERROR(VLOOKUP(B9, Database!$A$2:$C$50, 2, FALSE), "")</f>
        <v>0</v>
      </c>
      <c r="J9" s="2">
        <f>IFERROR(VLOOKUP(B9, Database!$A$2:$C$50, 3, FALSE), "")</f>
        <v>0</v>
      </c>
      <c r="L9" s="3" t="s">
        <v>30</v>
      </c>
      <c r="M9" s="3">
        <f>SUMIFS($C$7:$C$56, $I$7:$I$56, L9)*1.0 + SUMIFS($C$7:$C$56, $J$7:$J$56, L9)*0.5</f>
        <v>0</v>
      </c>
      <c r="N9" s="5">
        <f>IF(SUM($M$4:$M$13)=0, 0, M9/SUM($M$4:$M$13))</f>
        <v>0</v>
      </c>
    </row>
    <row r="10" spans="1:14">
      <c r="A10" s="3" t="s">
        <v>60</v>
      </c>
      <c r="B10" s="3" t="s">
        <v>32</v>
      </c>
      <c r="C10" s="3">
        <v>4</v>
      </c>
      <c r="D10" s="3" t="s">
        <v>68</v>
      </c>
      <c r="E10" s="3">
        <v>20</v>
      </c>
      <c r="F10" s="3" t="s">
        <v>66</v>
      </c>
      <c r="G10" s="3" t="s">
        <v>69</v>
      </c>
      <c r="H10" s="3">
        <f>IF(AND(ISNUMBER(C10), ISNUMBER(E10)), C10*E10, "")</f>
        <v>0</v>
      </c>
      <c r="I10" s="2">
        <f>IFERROR(VLOOKUP(B10, Database!$A$2:$C$50, 2, FALSE), "")</f>
        <v>0</v>
      </c>
      <c r="J10" s="2">
        <f>IFERROR(VLOOKUP(B10, Database!$A$2:$C$50, 3, FALSE), "")</f>
        <v>0</v>
      </c>
      <c r="L10" s="3" t="s">
        <v>6</v>
      </c>
      <c r="M10" s="3">
        <f>SUMIFS($C$7:$C$56, $I$7:$I$56, L10)*1.0 + SUMIFS($C$7:$C$56, $J$7:$J$56, L10)*0.5</f>
        <v>0</v>
      </c>
      <c r="N10" s="5">
        <f>IF(SUM($M$4:$M$13)=0, 0, M10/SUM($M$4:$M$13))</f>
        <v>0</v>
      </c>
    </row>
    <row r="11" spans="1:14">
      <c r="A11" s="3"/>
      <c r="B11" s="3"/>
      <c r="C11" s="3"/>
      <c r="D11" s="3"/>
      <c r="E11" s="3"/>
      <c r="F11" s="3"/>
      <c r="G11" s="3"/>
      <c r="H11" s="3">
        <f>IF(AND(ISNUMBER(C11), ISNUMBER(E11)), C11*E11, "")</f>
        <v>0</v>
      </c>
      <c r="I11" s="2">
        <f>IFERROR(VLOOKUP(B11, Database!$A$2:$C$50, 2, FALSE), "")</f>
        <v>0</v>
      </c>
      <c r="J11" s="2">
        <f>IFERROR(VLOOKUP(B11, Database!$A$2:$C$50, 3, FALSE), "")</f>
        <v>0</v>
      </c>
      <c r="L11" s="3" t="s">
        <v>23</v>
      </c>
      <c r="M11" s="3">
        <f>SUMIFS($C$7:$C$56, $I$7:$I$56, L11)*1.0 + SUMIFS($C$7:$C$56, $J$7:$J$56, L11)*0.5</f>
        <v>0</v>
      </c>
      <c r="N11" s="5">
        <f>IF(SUM($M$4:$M$13)=0, 0, M11/SUM($M$4:$M$13))</f>
        <v>0</v>
      </c>
    </row>
    <row r="12" spans="1:14">
      <c r="A12" s="3"/>
      <c r="B12" s="3"/>
      <c r="C12" s="3"/>
      <c r="D12" s="3"/>
      <c r="E12" s="3"/>
      <c r="F12" s="3"/>
      <c r="G12" s="3"/>
      <c r="H12" s="3">
        <f>IF(AND(ISNUMBER(C12), ISNUMBER(E12)), C12*E12, "")</f>
        <v>0</v>
      </c>
      <c r="I12" s="2">
        <f>IFERROR(VLOOKUP(B12, Database!$A$2:$C$50, 2, FALSE), "")</f>
        <v>0</v>
      </c>
      <c r="J12" s="2">
        <f>IFERROR(VLOOKUP(B12, Database!$A$2:$C$50, 3, FALSE), "")</f>
        <v>0</v>
      </c>
      <c r="L12" s="3" t="s">
        <v>9</v>
      </c>
      <c r="M12" s="3">
        <f>SUMIFS($C$7:$C$56, $I$7:$I$56, L12)*1.0 + SUMIFS($C$7:$C$56, $J$7:$J$56, L12)*0.5</f>
        <v>0</v>
      </c>
      <c r="N12" s="5">
        <f>IF(SUM($M$4:$M$13)=0, 0, M12/SUM($M$4:$M$13))</f>
        <v>0</v>
      </c>
    </row>
    <row r="13" spans="1:14">
      <c r="A13" s="3"/>
      <c r="B13" s="3"/>
      <c r="C13" s="3"/>
      <c r="D13" s="3"/>
      <c r="E13" s="3"/>
      <c r="F13" s="3"/>
      <c r="G13" s="3"/>
      <c r="H13" s="3">
        <f>IF(AND(ISNUMBER(C13), ISNUMBER(E13)), C13*E13, "")</f>
        <v>0</v>
      </c>
      <c r="I13" s="2">
        <f>IFERROR(VLOOKUP(B13, Database!$A$2:$C$50, 2, FALSE), "")</f>
        <v>0</v>
      </c>
      <c r="J13" s="2">
        <f>IFERROR(VLOOKUP(B13, Database!$A$2:$C$50, 3, FALSE), "")</f>
        <v>0</v>
      </c>
      <c r="L13" s="3" t="s">
        <v>39</v>
      </c>
      <c r="M13" s="3">
        <f>SUMIFS($C$7:$C$56, $I$7:$I$56, L13)*1.0 + SUMIFS($C$7:$C$56, $J$7:$J$56, L13)*0.5</f>
        <v>0</v>
      </c>
      <c r="N13" s="5">
        <f>IF(SUM($M$4:$M$13)=0, 0, M13/SUM($M$4:$M$13))</f>
        <v>0</v>
      </c>
    </row>
    <row r="14" spans="1:14">
      <c r="A14" s="3"/>
      <c r="B14" s="3"/>
      <c r="C14" s="3"/>
      <c r="D14" s="3"/>
      <c r="E14" s="3"/>
      <c r="F14" s="3"/>
      <c r="G14" s="3"/>
      <c r="H14" s="3">
        <f>IF(AND(ISNUMBER(C14), ISNUMBER(E14)), C14*E14, "")</f>
        <v>0</v>
      </c>
      <c r="I14" s="2">
        <f>IFERROR(VLOOKUP(B14, Database!$A$2:$C$50, 2, FALSE), "")</f>
        <v>0</v>
      </c>
      <c r="J14" s="2">
        <f>IFERROR(VLOOKUP(B14, Database!$A$2:$C$50, 3, FALSE), "")</f>
        <v>0</v>
      </c>
    </row>
    <row r="15" spans="1:14">
      <c r="A15" s="3"/>
      <c r="B15" s="3"/>
      <c r="C15" s="3"/>
      <c r="D15" s="3"/>
      <c r="E15" s="3"/>
      <c r="F15" s="3"/>
      <c r="G15" s="3"/>
      <c r="H15" s="3">
        <f>IF(AND(ISNUMBER(C15), ISNUMBER(E15)), C15*E15, "")</f>
        <v>0</v>
      </c>
      <c r="I15" s="2">
        <f>IFERROR(VLOOKUP(B15, Database!$A$2:$C$50, 2, FALSE), "")</f>
        <v>0</v>
      </c>
      <c r="J15" s="2">
        <f>IFERROR(VLOOKUP(B15, Database!$A$2:$C$50, 3, FALSE), "")</f>
        <v>0</v>
      </c>
    </row>
    <row r="16" spans="1:14">
      <c r="A16" s="3"/>
      <c r="B16" s="3"/>
      <c r="C16" s="3"/>
      <c r="D16" s="3"/>
      <c r="E16" s="3"/>
      <c r="F16" s="3"/>
      <c r="G16" s="3"/>
      <c r="H16" s="3">
        <f>IF(AND(ISNUMBER(C16), ISNUMBER(E16)), C16*E16, "")</f>
        <v>0</v>
      </c>
      <c r="I16" s="2">
        <f>IFERROR(VLOOKUP(B16, Database!$A$2:$C$50, 2, FALSE), "")</f>
        <v>0</v>
      </c>
      <c r="J16" s="2">
        <f>IFERROR(VLOOKUP(B16, Database!$A$2:$C$50, 3, FALSE), "")</f>
        <v>0</v>
      </c>
    </row>
    <row r="17" spans="1:10">
      <c r="A17" s="3"/>
      <c r="B17" s="3"/>
      <c r="C17" s="3"/>
      <c r="D17" s="3"/>
      <c r="E17" s="3"/>
      <c r="F17" s="3"/>
      <c r="G17" s="3"/>
      <c r="H17" s="3">
        <f>IF(AND(ISNUMBER(C17), ISNUMBER(E17)), C17*E17, "")</f>
        <v>0</v>
      </c>
      <c r="I17" s="2">
        <f>IFERROR(VLOOKUP(B17, Database!$A$2:$C$50, 2, FALSE), "")</f>
        <v>0</v>
      </c>
      <c r="J17" s="2">
        <f>IFERROR(VLOOKUP(B17, Database!$A$2:$C$50, 3, FALSE), "")</f>
        <v>0</v>
      </c>
    </row>
    <row r="18" spans="1:10">
      <c r="A18" s="3"/>
      <c r="B18" s="3"/>
      <c r="C18" s="3"/>
      <c r="D18" s="3"/>
      <c r="E18" s="3"/>
      <c r="F18" s="3"/>
      <c r="G18" s="3"/>
      <c r="H18" s="3">
        <f>IF(AND(ISNUMBER(C18), ISNUMBER(E18)), C18*E18, "")</f>
        <v>0</v>
      </c>
      <c r="I18" s="2">
        <f>IFERROR(VLOOKUP(B18, Database!$A$2:$C$50, 2, FALSE), "")</f>
        <v>0</v>
      </c>
      <c r="J18" s="2">
        <f>IFERROR(VLOOKUP(B18, Database!$A$2:$C$50, 3, FALSE), "")</f>
        <v>0</v>
      </c>
    </row>
    <row r="19" spans="1:10">
      <c r="A19" s="3"/>
      <c r="B19" s="3"/>
      <c r="C19" s="3"/>
      <c r="D19" s="3"/>
      <c r="E19" s="3"/>
      <c r="F19" s="3"/>
      <c r="G19" s="3"/>
      <c r="H19" s="3">
        <f>IF(AND(ISNUMBER(C19), ISNUMBER(E19)), C19*E19, "")</f>
        <v>0</v>
      </c>
      <c r="I19" s="2">
        <f>IFERROR(VLOOKUP(B19, Database!$A$2:$C$50, 2, FALSE), "")</f>
        <v>0</v>
      </c>
      <c r="J19" s="2">
        <f>IFERROR(VLOOKUP(B19, Database!$A$2:$C$50, 3, FALSE), "")</f>
        <v>0</v>
      </c>
    </row>
    <row r="20" spans="1:10">
      <c r="A20" s="3"/>
      <c r="B20" s="3"/>
      <c r="C20" s="3"/>
      <c r="D20" s="3"/>
      <c r="E20" s="3"/>
      <c r="F20" s="3"/>
      <c r="G20" s="3"/>
      <c r="H20" s="3">
        <f>IF(AND(ISNUMBER(C20), ISNUMBER(E20)), C20*E20, "")</f>
        <v>0</v>
      </c>
      <c r="I20" s="2">
        <f>IFERROR(VLOOKUP(B20, Database!$A$2:$C$50, 2, FALSE), "")</f>
        <v>0</v>
      </c>
      <c r="J20" s="2">
        <f>IFERROR(VLOOKUP(B20, Database!$A$2:$C$50, 3, FALSE), "")</f>
        <v>0</v>
      </c>
    </row>
    <row r="21" spans="1:10">
      <c r="A21" s="3"/>
      <c r="B21" s="3"/>
      <c r="C21" s="3"/>
      <c r="D21" s="3"/>
      <c r="E21" s="3"/>
      <c r="F21" s="3"/>
      <c r="G21" s="3"/>
      <c r="H21" s="3">
        <f>IF(AND(ISNUMBER(C21), ISNUMBER(E21)), C21*E21, "")</f>
        <v>0</v>
      </c>
      <c r="I21" s="2">
        <f>IFERROR(VLOOKUP(B21, Database!$A$2:$C$50, 2, FALSE), "")</f>
        <v>0</v>
      </c>
      <c r="J21" s="2">
        <f>IFERROR(VLOOKUP(B21, Database!$A$2:$C$50, 3, FALSE), "")</f>
        <v>0</v>
      </c>
    </row>
    <row r="22" spans="1:10">
      <c r="A22" s="3"/>
      <c r="B22" s="3"/>
      <c r="C22" s="3"/>
      <c r="D22" s="3"/>
      <c r="E22" s="3"/>
      <c r="F22" s="3"/>
      <c r="G22" s="3"/>
      <c r="H22" s="3">
        <f>IF(AND(ISNUMBER(C22), ISNUMBER(E22)), C22*E22, "")</f>
        <v>0</v>
      </c>
      <c r="I22" s="2">
        <f>IFERROR(VLOOKUP(B22, Database!$A$2:$C$50, 2, FALSE), "")</f>
        <v>0</v>
      </c>
      <c r="J22" s="2">
        <f>IFERROR(VLOOKUP(B22, Database!$A$2:$C$50, 3, FALSE), "")</f>
        <v>0</v>
      </c>
    </row>
    <row r="23" spans="1:10">
      <c r="A23" s="3"/>
      <c r="B23" s="3"/>
      <c r="C23" s="3"/>
      <c r="D23" s="3"/>
      <c r="E23" s="3"/>
      <c r="F23" s="3"/>
      <c r="G23" s="3"/>
      <c r="H23" s="3">
        <f>IF(AND(ISNUMBER(C23), ISNUMBER(E23)), C23*E23, "")</f>
        <v>0</v>
      </c>
      <c r="I23" s="2">
        <f>IFERROR(VLOOKUP(B23, Database!$A$2:$C$50, 2, FALSE), "")</f>
        <v>0</v>
      </c>
      <c r="J23" s="2">
        <f>IFERROR(VLOOKUP(B23, Database!$A$2:$C$50, 3, FALSE), "")</f>
        <v>0</v>
      </c>
    </row>
    <row r="24" spans="1:10">
      <c r="A24" s="3"/>
      <c r="B24" s="3"/>
      <c r="C24" s="3"/>
      <c r="D24" s="3"/>
      <c r="E24" s="3"/>
      <c r="F24" s="3"/>
      <c r="G24" s="3"/>
      <c r="H24" s="3">
        <f>IF(AND(ISNUMBER(C24), ISNUMBER(E24)), C24*E24, "")</f>
        <v>0</v>
      </c>
      <c r="I24" s="2">
        <f>IFERROR(VLOOKUP(B24, Database!$A$2:$C$50, 2, FALSE), "")</f>
        <v>0</v>
      </c>
      <c r="J24" s="2">
        <f>IFERROR(VLOOKUP(B24, Database!$A$2:$C$50, 3, FALSE), "")</f>
        <v>0</v>
      </c>
    </row>
    <row r="25" spans="1:10">
      <c r="A25" s="3"/>
      <c r="B25" s="3"/>
      <c r="C25" s="3"/>
      <c r="D25" s="3"/>
      <c r="E25" s="3"/>
      <c r="F25" s="3"/>
      <c r="G25" s="3"/>
      <c r="H25" s="3">
        <f>IF(AND(ISNUMBER(C25), ISNUMBER(E25)), C25*E25, "")</f>
        <v>0</v>
      </c>
      <c r="I25" s="2">
        <f>IFERROR(VLOOKUP(B25, Database!$A$2:$C$50, 2, FALSE), "")</f>
        <v>0</v>
      </c>
      <c r="J25" s="2">
        <f>IFERROR(VLOOKUP(B25, Database!$A$2:$C$50, 3, FALSE), "")</f>
        <v>0</v>
      </c>
    </row>
    <row r="26" spans="1:10">
      <c r="A26" s="3"/>
      <c r="B26" s="3"/>
      <c r="C26" s="3"/>
      <c r="D26" s="3"/>
      <c r="E26" s="3"/>
      <c r="F26" s="3"/>
      <c r="G26" s="3"/>
      <c r="H26" s="3">
        <f>IF(AND(ISNUMBER(C26), ISNUMBER(E26)), C26*E26, "")</f>
        <v>0</v>
      </c>
      <c r="I26" s="2">
        <f>IFERROR(VLOOKUP(B26, Database!$A$2:$C$50, 2, FALSE), "")</f>
        <v>0</v>
      </c>
      <c r="J26" s="2">
        <f>IFERROR(VLOOKUP(B26, Database!$A$2:$C$50, 3, FALSE), "")</f>
        <v>0</v>
      </c>
    </row>
    <row r="27" spans="1:10">
      <c r="A27" s="3"/>
      <c r="B27" s="3"/>
      <c r="C27" s="3"/>
      <c r="D27" s="3"/>
      <c r="E27" s="3"/>
      <c r="F27" s="3"/>
      <c r="G27" s="3"/>
      <c r="H27" s="3">
        <f>IF(AND(ISNUMBER(C27), ISNUMBER(E27)), C27*E27, "")</f>
        <v>0</v>
      </c>
      <c r="I27" s="2">
        <f>IFERROR(VLOOKUP(B27, Database!$A$2:$C$50, 2, FALSE), "")</f>
        <v>0</v>
      </c>
      <c r="J27" s="2">
        <f>IFERROR(VLOOKUP(B27, Database!$A$2:$C$50, 3, FALSE), "")</f>
        <v>0</v>
      </c>
    </row>
    <row r="28" spans="1:10">
      <c r="A28" s="3"/>
      <c r="B28" s="3"/>
      <c r="C28" s="3"/>
      <c r="D28" s="3"/>
      <c r="E28" s="3"/>
      <c r="F28" s="3"/>
      <c r="G28" s="3"/>
      <c r="H28" s="3">
        <f>IF(AND(ISNUMBER(C28), ISNUMBER(E28)), C28*E28, "")</f>
        <v>0</v>
      </c>
      <c r="I28" s="2">
        <f>IFERROR(VLOOKUP(B28, Database!$A$2:$C$50, 2, FALSE), "")</f>
        <v>0</v>
      </c>
      <c r="J28" s="2">
        <f>IFERROR(VLOOKUP(B28, Database!$A$2:$C$50, 3, FALSE), "")</f>
        <v>0</v>
      </c>
    </row>
    <row r="29" spans="1:10">
      <c r="A29" s="3"/>
      <c r="B29" s="3"/>
      <c r="C29" s="3"/>
      <c r="D29" s="3"/>
      <c r="E29" s="3"/>
      <c r="F29" s="3"/>
      <c r="G29" s="3"/>
      <c r="H29" s="3">
        <f>IF(AND(ISNUMBER(C29), ISNUMBER(E29)), C29*E29, "")</f>
        <v>0</v>
      </c>
      <c r="I29" s="2">
        <f>IFERROR(VLOOKUP(B29, Database!$A$2:$C$50, 2, FALSE), "")</f>
        <v>0</v>
      </c>
      <c r="J29" s="2">
        <f>IFERROR(VLOOKUP(B29, Database!$A$2:$C$50, 3, FALSE), "")</f>
        <v>0</v>
      </c>
    </row>
    <row r="30" spans="1:10">
      <c r="A30" s="3"/>
      <c r="B30" s="3"/>
      <c r="C30" s="3"/>
      <c r="D30" s="3"/>
      <c r="E30" s="3"/>
      <c r="F30" s="3"/>
      <c r="G30" s="3"/>
      <c r="H30" s="3">
        <f>IF(AND(ISNUMBER(C30), ISNUMBER(E30)), C30*E30, "")</f>
        <v>0</v>
      </c>
      <c r="I30" s="2">
        <f>IFERROR(VLOOKUP(B30, Database!$A$2:$C$50, 2, FALSE), "")</f>
        <v>0</v>
      </c>
      <c r="J30" s="2">
        <f>IFERROR(VLOOKUP(B30, Database!$A$2:$C$50, 3, FALSE), "")</f>
        <v>0</v>
      </c>
    </row>
    <row r="31" spans="1:10">
      <c r="A31" s="3"/>
      <c r="B31" s="3"/>
      <c r="C31" s="3"/>
      <c r="D31" s="3"/>
      <c r="E31" s="3"/>
      <c r="F31" s="3"/>
      <c r="G31" s="3"/>
      <c r="H31" s="3">
        <f>IF(AND(ISNUMBER(C31), ISNUMBER(E31)), C31*E31, "")</f>
        <v>0</v>
      </c>
      <c r="I31" s="2">
        <f>IFERROR(VLOOKUP(B31, Database!$A$2:$C$50, 2, FALSE), "")</f>
        <v>0</v>
      </c>
      <c r="J31" s="2">
        <f>IFERROR(VLOOKUP(B31, Database!$A$2:$C$50, 3, FALSE), "")</f>
        <v>0</v>
      </c>
    </row>
    <row r="32" spans="1:10">
      <c r="A32" s="3"/>
      <c r="B32" s="3"/>
      <c r="C32" s="3"/>
      <c r="D32" s="3"/>
      <c r="E32" s="3"/>
      <c r="F32" s="3"/>
      <c r="G32" s="3"/>
      <c r="H32" s="3">
        <f>IF(AND(ISNUMBER(C32), ISNUMBER(E32)), C32*E32, "")</f>
        <v>0</v>
      </c>
      <c r="I32" s="2">
        <f>IFERROR(VLOOKUP(B32, Database!$A$2:$C$50, 2, FALSE), "")</f>
        <v>0</v>
      </c>
      <c r="J32" s="2">
        <f>IFERROR(VLOOKUP(B32, Database!$A$2:$C$50, 3, FALSE), "")</f>
        <v>0</v>
      </c>
    </row>
    <row r="33" spans="1:10">
      <c r="A33" s="3"/>
      <c r="B33" s="3"/>
      <c r="C33" s="3"/>
      <c r="D33" s="3"/>
      <c r="E33" s="3"/>
      <c r="F33" s="3"/>
      <c r="G33" s="3"/>
      <c r="H33" s="3">
        <f>IF(AND(ISNUMBER(C33), ISNUMBER(E33)), C33*E33, "")</f>
        <v>0</v>
      </c>
      <c r="I33" s="2">
        <f>IFERROR(VLOOKUP(B33, Database!$A$2:$C$50, 2, FALSE), "")</f>
        <v>0</v>
      </c>
      <c r="J33" s="2">
        <f>IFERROR(VLOOKUP(B33, Database!$A$2:$C$50, 3, FALSE), "")</f>
        <v>0</v>
      </c>
    </row>
    <row r="34" spans="1:10">
      <c r="A34" s="3"/>
      <c r="B34" s="3"/>
      <c r="C34" s="3"/>
      <c r="D34" s="3"/>
      <c r="E34" s="3"/>
      <c r="F34" s="3"/>
      <c r="G34" s="3"/>
      <c r="H34" s="3">
        <f>IF(AND(ISNUMBER(C34), ISNUMBER(E34)), C34*E34, "")</f>
        <v>0</v>
      </c>
      <c r="I34" s="2">
        <f>IFERROR(VLOOKUP(B34, Database!$A$2:$C$50, 2, FALSE), "")</f>
        <v>0</v>
      </c>
      <c r="J34" s="2">
        <f>IFERROR(VLOOKUP(B34, Database!$A$2:$C$50, 3, FALSE), "")</f>
        <v>0</v>
      </c>
    </row>
    <row r="35" spans="1:10">
      <c r="A35" s="3"/>
      <c r="B35" s="3"/>
      <c r="C35" s="3"/>
      <c r="D35" s="3"/>
      <c r="E35" s="3"/>
      <c r="F35" s="3"/>
      <c r="G35" s="3"/>
      <c r="H35" s="3">
        <f>IF(AND(ISNUMBER(C35), ISNUMBER(E35)), C35*E35, "")</f>
        <v>0</v>
      </c>
      <c r="I35" s="2">
        <f>IFERROR(VLOOKUP(B35, Database!$A$2:$C$50, 2, FALSE), "")</f>
        <v>0</v>
      </c>
      <c r="J35" s="2">
        <f>IFERROR(VLOOKUP(B35, Database!$A$2:$C$50, 3, FALSE), "")</f>
        <v>0</v>
      </c>
    </row>
    <row r="36" spans="1:10">
      <c r="A36" s="3"/>
      <c r="B36" s="3"/>
      <c r="C36" s="3"/>
      <c r="D36" s="3"/>
      <c r="E36" s="3"/>
      <c r="F36" s="3"/>
      <c r="G36" s="3"/>
      <c r="H36" s="3">
        <f>IF(AND(ISNUMBER(C36), ISNUMBER(E36)), C36*E36, "")</f>
        <v>0</v>
      </c>
      <c r="I36" s="2">
        <f>IFERROR(VLOOKUP(B36, Database!$A$2:$C$50, 2, FALSE), "")</f>
        <v>0</v>
      </c>
      <c r="J36" s="2">
        <f>IFERROR(VLOOKUP(B36, Database!$A$2:$C$50, 3, FALSE), "")</f>
        <v>0</v>
      </c>
    </row>
    <row r="37" spans="1:10">
      <c r="A37" s="3"/>
      <c r="B37" s="3"/>
      <c r="C37" s="3"/>
      <c r="D37" s="3"/>
      <c r="E37" s="3"/>
      <c r="F37" s="3"/>
      <c r="G37" s="3"/>
      <c r="H37" s="3">
        <f>IF(AND(ISNUMBER(C37), ISNUMBER(E37)), C37*E37, "")</f>
        <v>0</v>
      </c>
      <c r="I37" s="2">
        <f>IFERROR(VLOOKUP(B37, Database!$A$2:$C$50, 2, FALSE), "")</f>
        <v>0</v>
      </c>
      <c r="J37" s="2">
        <f>IFERROR(VLOOKUP(B37, Database!$A$2:$C$50, 3, FALSE), "")</f>
        <v>0</v>
      </c>
    </row>
    <row r="38" spans="1:10">
      <c r="A38" s="3"/>
      <c r="B38" s="3"/>
      <c r="C38" s="3"/>
      <c r="D38" s="3"/>
      <c r="E38" s="3"/>
      <c r="F38" s="3"/>
      <c r="G38" s="3"/>
      <c r="H38" s="3">
        <f>IF(AND(ISNUMBER(C38), ISNUMBER(E38)), C38*E38, "")</f>
        <v>0</v>
      </c>
      <c r="I38" s="2">
        <f>IFERROR(VLOOKUP(B38, Database!$A$2:$C$50, 2, FALSE), "")</f>
        <v>0</v>
      </c>
      <c r="J38" s="2">
        <f>IFERROR(VLOOKUP(B38, Database!$A$2:$C$50, 3, FALSE), "")</f>
        <v>0</v>
      </c>
    </row>
    <row r="39" spans="1:10">
      <c r="A39" s="3"/>
      <c r="B39" s="3"/>
      <c r="C39" s="3"/>
      <c r="D39" s="3"/>
      <c r="E39" s="3"/>
      <c r="F39" s="3"/>
      <c r="G39" s="3"/>
      <c r="H39" s="3">
        <f>IF(AND(ISNUMBER(C39), ISNUMBER(E39)), C39*E39, "")</f>
        <v>0</v>
      </c>
      <c r="I39" s="2">
        <f>IFERROR(VLOOKUP(B39, Database!$A$2:$C$50, 2, FALSE), "")</f>
        <v>0</v>
      </c>
      <c r="J39" s="2">
        <f>IFERROR(VLOOKUP(B39, Database!$A$2:$C$50, 3, FALSE), "")</f>
        <v>0</v>
      </c>
    </row>
    <row r="40" spans="1:10">
      <c r="A40" s="3"/>
      <c r="B40" s="3"/>
      <c r="C40" s="3"/>
      <c r="D40" s="3"/>
      <c r="E40" s="3"/>
      <c r="F40" s="3"/>
      <c r="G40" s="3"/>
      <c r="H40" s="3">
        <f>IF(AND(ISNUMBER(C40), ISNUMBER(E40)), C40*E40, "")</f>
        <v>0</v>
      </c>
      <c r="I40" s="2">
        <f>IFERROR(VLOOKUP(B40, Database!$A$2:$C$50, 2, FALSE), "")</f>
        <v>0</v>
      </c>
      <c r="J40" s="2">
        <f>IFERROR(VLOOKUP(B40, Database!$A$2:$C$50, 3, FALSE), "")</f>
        <v>0</v>
      </c>
    </row>
    <row r="41" spans="1:10">
      <c r="A41" s="3"/>
      <c r="B41" s="3"/>
      <c r="C41" s="3"/>
      <c r="D41" s="3"/>
      <c r="E41" s="3"/>
      <c r="F41" s="3"/>
      <c r="G41" s="3"/>
      <c r="H41" s="3">
        <f>IF(AND(ISNUMBER(C41), ISNUMBER(E41)), C41*E41, "")</f>
        <v>0</v>
      </c>
      <c r="I41" s="2">
        <f>IFERROR(VLOOKUP(B41, Database!$A$2:$C$50, 2, FALSE), "")</f>
        <v>0</v>
      </c>
      <c r="J41" s="2">
        <f>IFERROR(VLOOKUP(B41, Database!$A$2:$C$50, 3, FALSE), "")</f>
        <v>0</v>
      </c>
    </row>
    <row r="42" spans="1:10">
      <c r="A42" s="3"/>
      <c r="B42" s="3"/>
      <c r="C42" s="3"/>
      <c r="D42" s="3"/>
      <c r="E42" s="3"/>
      <c r="F42" s="3"/>
      <c r="G42" s="3"/>
      <c r="H42" s="3">
        <f>IF(AND(ISNUMBER(C42), ISNUMBER(E42)), C42*E42, "")</f>
        <v>0</v>
      </c>
      <c r="I42" s="2">
        <f>IFERROR(VLOOKUP(B42, Database!$A$2:$C$50, 2, FALSE), "")</f>
        <v>0</v>
      </c>
      <c r="J42" s="2">
        <f>IFERROR(VLOOKUP(B42, Database!$A$2:$C$50, 3, FALSE), "")</f>
        <v>0</v>
      </c>
    </row>
    <row r="43" spans="1:10">
      <c r="A43" s="3"/>
      <c r="B43" s="3"/>
      <c r="C43" s="3"/>
      <c r="D43" s="3"/>
      <c r="E43" s="3"/>
      <c r="F43" s="3"/>
      <c r="G43" s="3"/>
      <c r="H43" s="3">
        <f>IF(AND(ISNUMBER(C43), ISNUMBER(E43)), C43*E43, "")</f>
        <v>0</v>
      </c>
      <c r="I43" s="2">
        <f>IFERROR(VLOOKUP(B43, Database!$A$2:$C$50, 2, FALSE), "")</f>
        <v>0</v>
      </c>
      <c r="J43" s="2">
        <f>IFERROR(VLOOKUP(B43, Database!$A$2:$C$50, 3, FALSE), "")</f>
        <v>0</v>
      </c>
    </row>
    <row r="44" spans="1:10">
      <c r="A44" s="3"/>
      <c r="B44" s="3"/>
      <c r="C44" s="3"/>
      <c r="D44" s="3"/>
      <c r="E44" s="3"/>
      <c r="F44" s="3"/>
      <c r="G44" s="3"/>
      <c r="H44" s="3">
        <f>IF(AND(ISNUMBER(C44), ISNUMBER(E44)), C44*E44, "")</f>
        <v>0</v>
      </c>
      <c r="I44" s="2">
        <f>IFERROR(VLOOKUP(B44, Database!$A$2:$C$50, 2, FALSE), "")</f>
        <v>0</v>
      </c>
      <c r="J44" s="2">
        <f>IFERROR(VLOOKUP(B44, Database!$A$2:$C$50, 3, FALSE), "")</f>
        <v>0</v>
      </c>
    </row>
    <row r="45" spans="1:10">
      <c r="A45" s="3"/>
      <c r="B45" s="3"/>
      <c r="C45" s="3"/>
      <c r="D45" s="3"/>
      <c r="E45" s="3"/>
      <c r="F45" s="3"/>
      <c r="G45" s="3"/>
      <c r="H45" s="3">
        <f>IF(AND(ISNUMBER(C45), ISNUMBER(E45)), C45*E45, "")</f>
        <v>0</v>
      </c>
      <c r="I45" s="2">
        <f>IFERROR(VLOOKUP(B45, Database!$A$2:$C$50, 2, FALSE), "")</f>
        <v>0</v>
      </c>
      <c r="J45" s="2">
        <f>IFERROR(VLOOKUP(B45, Database!$A$2:$C$50, 3, FALSE), "")</f>
        <v>0</v>
      </c>
    </row>
    <row r="46" spans="1:10">
      <c r="A46" s="3"/>
      <c r="B46" s="3"/>
      <c r="C46" s="3"/>
      <c r="D46" s="3"/>
      <c r="E46" s="3"/>
      <c r="F46" s="3"/>
      <c r="G46" s="3"/>
      <c r="H46" s="3">
        <f>IF(AND(ISNUMBER(C46), ISNUMBER(E46)), C46*E46, "")</f>
        <v>0</v>
      </c>
      <c r="I46" s="2">
        <f>IFERROR(VLOOKUP(B46, Database!$A$2:$C$50, 2, FALSE), "")</f>
        <v>0</v>
      </c>
      <c r="J46" s="2">
        <f>IFERROR(VLOOKUP(B46, Database!$A$2:$C$50, 3, FALSE), "")</f>
        <v>0</v>
      </c>
    </row>
    <row r="47" spans="1:10">
      <c r="A47" s="3"/>
      <c r="B47" s="3"/>
      <c r="C47" s="3"/>
      <c r="D47" s="3"/>
      <c r="E47" s="3"/>
      <c r="F47" s="3"/>
      <c r="G47" s="3"/>
      <c r="H47" s="3">
        <f>IF(AND(ISNUMBER(C47), ISNUMBER(E47)), C47*E47, "")</f>
        <v>0</v>
      </c>
      <c r="I47" s="2">
        <f>IFERROR(VLOOKUP(B47, Database!$A$2:$C$50, 2, FALSE), "")</f>
        <v>0</v>
      </c>
      <c r="J47" s="2">
        <f>IFERROR(VLOOKUP(B47, Database!$A$2:$C$50, 3, FALSE), "")</f>
        <v>0</v>
      </c>
    </row>
    <row r="48" spans="1:10">
      <c r="A48" s="3"/>
      <c r="B48" s="3"/>
      <c r="C48" s="3"/>
      <c r="D48" s="3"/>
      <c r="E48" s="3"/>
      <c r="F48" s="3"/>
      <c r="G48" s="3"/>
      <c r="H48" s="3">
        <f>IF(AND(ISNUMBER(C48), ISNUMBER(E48)), C48*E48, "")</f>
        <v>0</v>
      </c>
      <c r="I48" s="2">
        <f>IFERROR(VLOOKUP(B48, Database!$A$2:$C$50, 2, FALSE), "")</f>
        <v>0</v>
      </c>
      <c r="J48" s="2">
        <f>IFERROR(VLOOKUP(B48, Database!$A$2:$C$50, 3, FALSE), "")</f>
        <v>0</v>
      </c>
    </row>
    <row r="49" spans="1:10">
      <c r="A49" s="3"/>
      <c r="B49" s="3"/>
      <c r="C49" s="3"/>
      <c r="D49" s="3"/>
      <c r="E49" s="3"/>
      <c r="F49" s="3"/>
      <c r="G49" s="3"/>
      <c r="H49" s="3">
        <f>IF(AND(ISNUMBER(C49), ISNUMBER(E49)), C49*E49, "")</f>
        <v>0</v>
      </c>
      <c r="I49" s="2">
        <f>IFERROR(VLOOKUP(B49, Database!$A$2:$C$50, 2, FALSE), "")</f>
        <v>0</v>
      </c>
      <c r="J49" s="2">
        <f>IFERROR(VLOOKUP(B49, Database!$A$2:$C$50, 3, FALSE), "")</f>
        <v>0</v>
      </c>
    </row>
    <row r="50" spans="1:10">
      <c r="A50" s="3"/>
      <c r="B50" s="3"/>
      <c r="C50" s="3"/>
      <c r="D50" s="3"/>
      <c r="E50" s="3"/>
      <c r="F50" s="3"/>
      <c r="G50" s="3"/>
      <c r="H50" s="3">
        <f>IF(AND(ISNUMBER(C50), ISNUMBER(E50)), C50*E50, "")</f>
        <v>0</v>
      </c>
      <c r="I50" s="2">
        <f>IFERROR(VLOOKUP(B50, Database!$A$2:$C$50, 2, FALSE), "")</f>
        <v>0</v>
      </c>
      <c r="J50" s="2">
        <f>IFERROR(VLOOKUP(B50, Database!$A$2:$C$50, 3, FALSE), "")</f>
        <v>0</v>
      </c>
    </row>
    <row r="51" spans="1:10">
      <c r="A51" s="3"/>
      <c r="B51" s="3"/>
      <c r="C51" s="3"/>
      <c r="D51" s="3"/>
      <c r="E51" s="3"/>
      <c r="F51" s="3"/>
      <c r="G51" s="3"/>
      <c r="H51" s="3">
        <f>IF(AND(ISNUMBER(C51), ISNUMBER(E51)), C51*E51, "")</f>
        <v>0</v>
      </c>
      <c r="I51" s="2">
        <f>IFERROR(VLOOKUP(B51, Database!$A$2:$C$50, 2, FALSE), "")</f>
        <v>0</v>
      </c>
      <c r="J51" s="2">
        <f>IFERROR(VLOOKUP(B51, Database!$A$2:$C$50, 3, FALSE), "")</f>
        <v>0</v>
      </c>
    </row>
    <row r="52" spans="1:10">
      <c r="A52" s="3"/>
      <c r="B52" s="3"/>
      <c r="C52" s="3"/>
      <c r="D52" s="3"/>
      <c r="E52" s="3"/>
      <c r="F52" s="3"/>
      <c r="G52" s="3"/>
      <c r="H52" s="3">
        <f>IF(AND(ISNUMBER(C52), ISNUMBER(E52)), C52*E52, "")</f>
        <v>0</v>
      </c>
      <c r="I52" s="2">
        <f>IFERROR(VLOOKUP(B52, Database!$A$2:$C$50, 2, FALSE), "")</f>
        <v>0</v>
      </c>
      <c r="J52" s="2">
        <f>IFERROR(VLOOKUP(B52, Database!$A$2:$C$50, 3, FALSE), "")</f>
        <v>0</v>
      </c>
    </row>
    <row r="53" spans="1:10">
      <c r="A53" s="3"/>
      <c r="B53" s="3"/>
      <c r="C53" s="3"/>
      <c r="D53" s="3"/>
      <c r="E53" s="3"/>
      <c r="F53" s="3"/>
      <c r="G53" s="3"/>
      <c r="H53" s="3">
        <f>IF(AND(ISNUMBER(C53), ISNUMBER(E53)), C53*E53, "")</f>
        <v>0</v>
      </c>
      <c r="I53" s="2">
        <f>IFERROR(VLOOKUP(B53, Database!$A$2:$C$50, 2, FALSE), "")</f>
        <v>0</v>
      </c>
      <c r="J53" s="2">
        <f>IFERROR(VLOOKUP(B53, Database!$A$2:$C$50, 3, FALSE), "")</f>
        <v>0</v>
      </c>
    </row>
    <row r="54" spans="1:10">
      <c r="A54" s="3"/>
      <c r="B54" s="3"/>
      <c r="C54" s="3"/>
      <c r="D54" s="3"/>
      <c r="E54" s="3"/>
      <c r="F54" s="3"/>
      <c r="G54" s="3"/>
      <c r="H54" s="3">
        <f>IF(AND(ISNUMBER(C54), ISNUMBER(E54)), C54*E54, "")</f>
        <v>0</v>
      </c>
      <c r="I54" s="2">
        <f>IFERROR(VLOOKUP(B54, Database!$A$2:$C$50, 2, FALSE), "")</f>
        <v>0</v>
      </c>
      <c r="J54" s="2">
        <f>IFERROR(VLOOKUP(B54, Database!$A$2:$C$50, 3, FALSE), "")</f>
        <v>0</v>
      </c>
    </row>
    <row r="55" spans="1:10">
      <c r="A55" s="3"/>
      <c r="B55" s="3"/>
      <c r="C55" s="3"/>
      <c r="D55" s="3"/>
      <c r="E55" s="3"/>
      <c r="F55" s="3"/>
      <c r="G55" s="3"/>
      <c r="H55" s="3">
        <f>IF(AND(ISNUMBER(C55), ISNUMBER(E55)), C55*E55, "")</f>
        <v>0</v>
      </c>
      <c r="I55" s="2">
        <f>IFERROR(VLOOKUP(B55, Database!$A$2:$C$50, 2, FALSE), "")</f>
        <v>0</v>
      </c>
      <c r="J55" s="2">
        <f>IFERROR(VLOOKUP(B55, Database!$A$2:$C$50, 3, FALSE), "")</f>
        <v>0</v>
      </c>
    </row>
    <row r="56" spans="1:10">
      <c r="A56" s="3"/>
      <c r="B56" s="3"/>
      <c r="C56" s="3"/>
      <c r="D56" s="3"/>
      <c r="E56" s="3"/>
      <c r="F56" s="3"/>
      <c r="G56" s="3"/>
      <c r="H56" s="3">
        <f>IF(AND(ISNUMBER(C56), ISNUMBER(E56)), C56*E56, "")</f>
        <v>0</v>
      </c>
      <c r="I56" s="2">
        <f>IFERROR(VLOOKUP(B56, Database!$A$2:$C$50, 2, FALSE), "")</f>
        <v>0</v>
      </c>
      <c r="J56" s="2">
        <f>IFERROR(VLOOKUP(B56, Database!$A$2:$C$50, 3, FALSE), "")</f>
        <v>0</v>
      </c>
    </row>
  </sheetData>
  <mergeCells count="1">
    <mergeCell ref="L1:N1"/>
  </mergeCells>
  <conditionalFormatting sqref="M4:M13">
    <cfRule type="cellIs" dxfId="0" priority="1" operator="greaterThanOrEqual">
      <formula>20</formula>
    </cfRule>
    <cfRule type="cellIs" dxfId="1" priority="2" operator="between">
      <formula>16</formula>
      <formula>19.99</formula>
    </cfRule>
    <cfRule type="cellIs" dxfId="2" priority="3" operator="lessThan">
      <formula>16</formula>
    </cfRule>
  </conditionalFormatting>
  <dataValidations count="50">
    <dataValidation type="list" allowBlank="1" showInputMessage="1" showErrorMessage="1" sqref="B7">
      <formula1>Database!$A$2:$A$50</formula1>
    </dataValidation>
    <dataValidation type="list" allowBlank="1" showInputMessage="1" showErrorMessage="1" sqref="B8">
      <formula1>Database!$A$2:$A$50</formula1>
    </dataValidation>
    <dataValidation type="list" allowBlank="1" showInputMessage="1" showErrorMessage="1" sqref="B9">
      <formula1>Database!$A$2:$A$50</formula1>
    </dataValidation>
    <dataValidation type="list" allowBlank="1" showInputMessage="1" showErrorMessage="1" sqref="B10">
      <formula1>Database!$A$2:$A$50</formula1>
    </dataValidation>
    <dataValidation type="list" allowBlank="1" showInputMessage="1" showErrorMessage="1" sqref="B11">
      <formula1>Database!$A$2:$A$50</formula1>
    </dataValidation>
    <dataValidation type="list" allowBlank="1" showInputMessage="1" showErrorMessage="1" sqref="B12">
      <formula1>Database!$A$2:$A$50</formula1>
    </dataValidation>
    <dataValidation type="list" allowBlank="1" showInputMessage="1" showErrorMessage="1" sqref="B13">
      <formula1>Database!$A$2:$A$50</formula1>
    </dataValidation>
    <dataValidation type="list" allowBlank="1" showInputMessage="1" showErrorMessage="1" sqref="B14">
      <formula1>Database!$A$2:$A$50</formula1>
    </dataValidation>
    <dataValidation type="list" allowBlank="1" showInputMessage="1" showErrorMessage="1" sqref="B15">
      <formula1>Database!$A$2:$A$50</formula1>
    </dataValidation>
    <dataValidation type="list" allowBlank="1" showInputMessage="1" showErrorMessage="1" sqref="B16">
      <formula1>Database!$A$2:$A$50</formula1>
    </dataValidation>
    <dataValidation type="list" allowBlank="1" showInputMessage="1" showErrorMessage="1" sqref="B17">
      <formula1>Database!$A$2:$A$50</formula1>
    </dataValidation>
    <dataValidation type="list" allowBlank="1" showInputMessage="1" showErrorMessage="1" sqref="B18">
      <formula1>Database!$A$2:$A$50</formula1>
    </dataValidation>
    <dataValidation type="list" allowBlank="1" showInputMessage="1" showErrorMessage="1" sqref="B19">
      <formula1>Database!$A$2:$A$50</formula1>
    </dataValidation>
    <dataValidation type="list" allowBlank="1" showInputMessage="1" showErrorMessage="1" sqref="B20">
      <formula1>Database!$A$2:$A$50</formula1>
    </dataValidation>
    <dataValidation type="list" allowBlank="1" showInputMessage="1" showErrorMessage="1" sqref="B21">
      <formula1>Database!$A$2:$A$50</formula1>
    </dataValidation>
    <dataValidation type="list" allowBlank="1" showInputMessage="1" showErrorMessage="1" sqref="B22">
      <formula1>Database!$A$2:$A$50</formula1>
    </dataValidation>
    <dataValidation type="list" allowBlank="1" showInputMessage="1" showErrorMessage="1" sqref="B23">
      <formula1>Database!$A$2:$A$50</formula1>
    </dataValidation>
    <dataValidation type="list" allowBlank="1" showInputMessage="1" showErrorMessage="1" sqref="B24">
      <formula1>Database!$A$2:$A$50</formula1>
    </dataValidation>
    <dataValidation type="list" allowBlank="1" showInputMessage="1" showErrorMessage="1" sqref="B25">
      <formula1>Database!$A$2:$A$50</formula1>
    </dataValidation>
    <dataValidation type="list" allowBlank="1" showInputMessage="1" showErrorMessage="1" sqref="B26">
      <formula1>Database!$A$2:$A$50</formula1>
    </dataValidation>
    <dataValidation type="list" allowBlank="1" showInputMessage="1" showErrorMessage="1" sqref="B27">
      <formula1>Database!$A$2:$A$50</formula1>
    </dataValidation>
    <dataValidation type="list" allowBlank="1" showInputMessage="1" showErrorMessage="1" sqref="B28">
      <formula1>Database!$A$2:$A$50</formula1>
    </dataValidation>
    <dataValidation type="list" allowBlank="1" showInputMessage="1" showErrorMessage="1" sqref="B29">
      <formula1>Database!$A$2:$A$50</formula1>
    </dataValidation>
    <dataValidation type="list" allowBlank="1" showInputMessage="1" showErrorMessage="1" sqref="B30">
      <formula1>Database!$A$2:$A$50</formula1>
    </dataValidation>
    <dataValidation type="list" allowBlank="1" showInputMessage="1" showErrorMessage="1" sqref="B31">
      <formula1>Database!$A$2:$A$50</formula1>
    </dataValidation>
    <dataValidation type="list" allowBlank="1" showInputMessage="1" showErrorMessage="1" sqref="B32">
      <formula1>Database!$A$2:$A$50</formula1>
    </dataValidation>
    <dataValidation type="list" allowBlank="1" showInputMessage="1" showErrorMessage="1" sqref="B33">
      <formula1>Database!$A$2:$A$50</formula1>
    </dataValidation>
    <dataValidation type="list" allowBlank="1" showInputMessage="1" showErrorMessage="1" sqref="B34">
      <formula1>Database!$A$2:$A$50</formula1>
    </dataValidation>
    <dataValidation type="list" allowBlank="1" showInputMessage="1" showErrorMessage="1" sqref="B35">
      <formula1>Database!$A$2:$A$50</formula1>
    </dataValidation>
    <dataValidation type="list" allowBlank="1" showInputMessage="1" showErrorMessage="1" sqref="B36">
      <formula1>Database!$A$2:$A$50</formula1>
    </dataValidation>
    <dataValidation type="list" allowBlank="1" showInputMessage="1" showErrorMessage="1" sqref="B37">
      <formula1>Database!$A$2:$A$50</formula1>
    </dataValidation>
    <dataValidation type="list" allowBlank="1" showInputMessage="1" showErrorMessage="1" sqref="B38">
      <formula1>Database!$A$2:$A$50</formula1>
    </dataValidation>
    <dataValidation type="list" allowBlank="1" showInputMessage="1" showErrorMessage="1" sqref="B39">
      <formula1>Database!$A$2:$A$50</formula1>
    </dataValidation>
    <dataValidation type="list" allowBlank="1" showInputMessage="1" showErrorMessage="1" sqref="B40">
      <formula1>Database!$A$2:$A$50</formula1>
    </dataValidation>
    <dataValidation type="list" allowBlank="1" showInputMessage="1" showErrorMessage="1" sqref="B41">
      <formula1>Database!$A$2:$A$50</formula1>
    </dataValidation>
    <dataValidation type="list" allowBlank="1" showInputMessage="1" showErrorMessage="1" sqref="B42">
      <formula1>Database!$A$2:$A$50</formula1>
    </dataValidation>
    <dataValidation type="list" allowBlank="1" showInputMessage="1" showErrorMessage="1" sqref="B43">
      <formula1>Database!$A$2:$A$50</formula1>
    </dataValidation>
    <dataValidation type="list" allowBlank="1" showInputMessage="1" showErrorMessage="1" sqref="B44">
      <formula1>Database!$A$2:$A$50</formula1>
    </dataValidation>
    <dataValidation type="list" allowBlank="1" showInputMessage="1" showErrorMessage="1" sqref="B45">
      <formula1>Database!$A$2:$A$50</formula1>
    </dataValidation>
    <dataValidation type="list" allowBlank="1" showInputMessage="1" showErrorMessage="1" sqref="B46">
      <formula1>Database!$A$2:$A$50</formula1>
    </dataValidation>
    <dataValidation type="list" allowBlank="1" showInputMessage="1" showErrorMessage="1" sqref="B47">
      <formula1>Database!$A$2:$A$50</formula1>
    </dataValidation>
    <dataValidation type="list" allowBlank="1" showInputMessage="1" showErrorMessage="1" sqref="B48">
      <formula1>Database!$A$2:$A$50</formula1>
    </dataValidation>
    <dataValidation type="list" allowBlank="1" showInputMessage="1" showErrorMessage="1" sqref="B49">
      <formula1>Database!$A$2:$A$50</formula1>
    </dataValidation>
    <dataValidation type="list" allowBlank="1" showInputMessage="1" showErrorMessage="1" sqref="B50">
      <formula1>Database!$A$2:$A$50</formula1>
    </dataValidation>
    <dataValidation type="list" allowBlank="1" showInputMessage="1" showErrorMessage="1" sqref="B51">
      <formula1>Database!$A$2:$A$50</formula1>
    </dataValidation>
    <dataValidation type="list" allowBlank="1" showInputMessage="1" showErrorMessage="1" sqref="B52">
      <formula1>Database!$A$2:$A$50</formula1>
    </dataValidation>
    <dataValidation type="list" allowBlank="1" showInputMessage="1" showErrorMessage="1" sqref="B53">
      <formula1>Database!$A$2:$A$50</formula1>
    </dataValidation>
    <dataValidation type="list" allowBlank="1" showInputMessage="1" showErrorMessage="1" sqref="B54">
      <formula1>Database!$A$2:$A$50</formula1>
    </dataValidation>
    <dataValidation type="list" allowBlank="1" showInputMessage="1" showErrorMessage="1" sqref="B55">
      <formula1>Database!$A$2:$A$50</formula1>
    </dataValidation>
    <dataValidation type="list" allowBlank="1" showInputMessage="1" showErrorMessage="1" sqref="B56">
      <formula1>Database!$A$2:$A$50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Routine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2026-04-28T00:03:34Z</dcterms:created>
  <dcterms:modified xsi:type="dcterms:W3CDTF">2026-04-28T00:03:34Z</dcterms:modified>
</cp:coreProperties>
</file>